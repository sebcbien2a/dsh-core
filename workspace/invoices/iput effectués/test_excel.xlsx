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sh-core\workspace\inbox\"/>
    </mc:Choice>
  </mc:AlternateContent>
  <xr:revisionPtr revIDLastSave="0" documentId="8_{B71D15B0-88A5-49CD-AF5D-E387AD5875F3}" xr6:coauthVersionLast="47" xr6:coauthVersionMax="47" xr10:uidLastSave="{00000000-0000-0000-0000-000000000000}"/>
  <bookViews>
    <workbookView xWindow="-103" yWindow="-103" windowWidth="22149" windowHeight="139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</calcChain>
</file>

<file path=xl/sharedStrings.xml><?xml version="1.0" encoding="utf-8"?>
<sst xmlns="http://schemas.openxmlformats.org/spreadsheetml/2006/main" count="66" uniqueCount="31">
  <si>
    <t>Type de pièce</t>
  </si>
  <si>
    <t>N° pièce</t>
  </si>
  <si>
    <t>Statut</t>
  </si>
  <si>
    <t>Date Pièce</t>
  </si>
  <si>
    <t>Société</t>
  </si>
  <si>
    <t>Total HT</t>
  </si>
  <si>
    <t>Total TVA</t>
  </si>
  <si>
    <t>Total TTC</t>
  </si>
  <si>
    <t>Solde Dû</t>
  </si>
  <si>
    <t>Date Echéance</t>
  </si>
  <si>
    <t>Transférée</t>
  </si>
  <si>
    <t>Dernier transfert</t>
  </si>
  <si>
    <t>Bon de livraison</t>
  </si>
  <si>
    <t>BL17593</t>
  </si>
  <si>
    <t>Provisoire</t>
  </si>
  <si>
    <t>SCTI</t>
  </si>
  <si>
    <t>BL17590</t>
  </si>
  <si>
    <t>BL17524</t>
  </si>
  <si>
    <t>Devis</t>
  </si>
  <si>
    <t>DE15178</t>
  </si>
  <si>
    <t>Accepté</t>
  </si>
  <si>
    <t>Facture</t>
  </si>
  <si>
    <t>FA16477</t>
  </si>
  <si>
    <t>BL17464</t>
  </si>
  <si>
    <t>Soldé</t>
  </si>
  <si>
    <t>BL17450</t>
  </si>
  <si>
    <t>FA16447</t>
  </si>
  <si>
    <t>BL17411</t>
  </si>
  <si>
    <t>BL17401</t>
  </si>
  <si>
    <t>FA16435</t>
  </si>
  <si>
    <t>BL17394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</si>
</sst>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Vrai&quot;;&quot;Vrai&quot;;&quot;Faux&quot;"/>
    <numFmt numFmtId="167" formatCode="0.00\ \ &quot;EUR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color rgb="FFFF0000"/>
      <name val="Arial"/>
    </font>
    <font>
      <b/>
      <sz val="10"/>
      <color rgb="FFFF000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5F6"/>
        <bgColor indexed="64"/>
      </patternFill>
    </fill>
    <fill>
      <patternFill patternType="solid">
        <fgColor rgb="FFF3F1E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33" borderId="10" xfId="0" applyNumberFormat="1" applyFont="1" applyFill="1" applyBorder="1" applyAlignment="1" applyProtection="1">
      <alignment horizontal="center" vertical="center"/>
    </xf>
    <xf numFmtId="0" fontId="18" fillId="34" borderId="10" xfId="0" applyNumberFormat="1" applyFont="1" applyFill="1" applyBorder="1" applyAlignment="1" applyProtection="1">
      <alignment horizontal="center" vertical="top"/>
    </xf>
    <xf numFmtId="0" fontId="18" fillId="34" borderId="10" xfId="0" applyNumberFormat="1" applyFont="1" applyFill="1" applyBorder="1" applyAlignment="1" applyProtection="1">
      <alignment vertical="top"/>
    </xf>
    <xf numFmtId="0" fontId="18" fillId="35" borderId="10" xfId="0" applyNumberFormat="1" applyFont="1" applyFill="1" applyBorder="1" applyAlignment="1" applyProtection="1">
      <alignment vertical="top"/>
    </xf>
    <xf numFmtId="14" fontId="18" fillId="35" borderId="10" xfId="0" applyNumberFormat="1" applyFont="1" applyFill="1" applyBorder="1" applyAlignment="1" applyProtection="1">
      <alignment horizontal="center" vertical="top"/>
    </xf>
    <xf numFmtId="167" fontId="18" fillId="35" borderId="10" xfId="0" applyNumberFormat="1" applyFont="1" applyFill="1" applyBorder="1" applyAlignment="1" applyProtection="1">
      <alignment horizontal="right" vertical="top"/>
    </xf>
    <xf numFmtId="164" fontId="19" fillId="35" borderId="10" xfId="0" applyNumberFormat="1" applyFont="1" applyFill="1" applyBorder="1" applyAlignment="1" applyProtection="1">
      <alignment horizontal="center" vertical="top"/>
    </xf>
    <xf numFmtId="0" fontId="18" fillId="33" borderId="10" xfId="0" applyNumberFormat="1" applyFont="1" applyFill="1" applyBorder="1" applyAlignment="1" applyProtection="1">
      <alignment vertical="top"/>
    </xf>
    <xf numFmtId="14" fontId="18" fillId="33" borderId="10" xfId="0" applyNumberFormat="1" applyFont="1" applyFill="1" applyBorder="1" applyAlignment="1" applyProtection="1">
      <alignment horizontal="center" vertical="top"/>
    </xf>
    <xf numFmtId="167" fontId="18" fillId="33" borderId="10" xfId="0" applyNumberFormat="1" applyFont="1" applyFill="1" applyBorder="1" applyAlignment="1" applyProtection="1">
      <alignment horizontal="right" vertical="top"/>
    </xf>
    <xf numFmtId="164" fontId="19" fillId="33" borderId="10" xfId="0" applyNumberFormat="1" applyFont="1" applyFill="1" applyBorder="1" applyAlignment="1" applyProtection="1">
      <alignment horizontal="center" vertical="top"/>
    </xf>
    <xf numFmtId="0" fontId="19" fillId="36" borderId="10" xfId="0" applyNumberFormat="1" applyFont="1" applyFill="1" applyBorder="1" applyAlignment="1" applyProtection="1">
      <alignment vertical="top"/>
    </xf>
    <xf numFmtId="0" fontId="19" fillId="36" borderId="10" xfId="0" applyNumberFormat="1" applyFont="1" applyFill="1" applyBorder="1" applyAlignment="1" applyProtection="1">
      <alignment horizontal="center" vertical="top"/>
    </xf>
    <xf numFmtId="0" fontId="20" fillId="34" borderId="10" xfId="0" applyNumberFormat="1" applyFont="1" applyFill="1" applyBorder="1" applyAlignment="1" applyProtection="1">
      <alignment vertical="top"/>
    </xf>
    <xf numFmtId="0" fontId="20" fillId="33" borderId="10" xfId="0" applyNumberFormat="1" applyFont="1" applyFill="1" applyBorder="1" applyAlignment="1" applyProtection="1">
      <alignment vertical="top"/>
    </xf>
    <xf numFmtId="14" fontId="20" fillId="33" borderId="10" xfId="0" applyNumberFormat="1" applyFont="1" applyFill="1" applyBorder="1" applyAlignment="1" applyProtection="1">
      <alignment horizontal="center" vertical="top"/>
    </xf>
    <xf numFmtId="167" fontId="20" fillId="33" borderId="10" xfId="0" applyNumberFormat="1" applyFont="1" applyFill="1" applyBorder="1" applyAlignment="1" applyProtection="1">
      <alignment horizontal="right" vertical="top"/>
    </xf>
    <xf numFmtId="164" fontId="21" fillId="33" borderId="10" xfId="0" applyNumberFormat="1" applyFont="1" applyFill="1" applyBorder="1" applyAlignment="1" applyProtection="1">
      <alignment horizontal="center" vertical="top"/>
    </xf>
    <xf numFmtId="0" fontId="14" fillId="0" borderId="0" xfId="0" applyFont="1"/>
    <xf numFmtId="167" fontId="19" fillId="36" borderId="10" xfId="0" applyNumberFormat="1" applyFont="1" applyFill="1" applyBorder="1" applyAlignment="1" applyProtection="1">
      <alignment horizontal="right" vertical="top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tabSelected="1" workbookViewId="0">
      <selection activeCell="M14" sqref="A1:M14"/>
    </sheetView>
  </sheetViews>
  <sheetFormatPr baseColWidth="10" defaultColWidth="10.765625" defaultRowHeight="14.6" x14ac:dyDescent="0.4"/>
  <cols>
    <col min="1" max="1" width="5.07421875" customWidth="1"/>
    <col min="2" max="2" width="19.921875" customWidth="1"/>
    <col min="3" max="3" width="13" customWidth="1"/>
    <col min="4" max="4" width="11.53515625" customWidth="1"/>
    <col min="5" max="5" width="17.69140625" customWidth="1"/>
    <col min="6" max="6" width="10.53515625" customWidth="1"/>
    <col min="7" max="7" width="19.765625" customWidth="1"/>
    <col min="8" max="8" width="12.4609375" customWidth="1"/>
    <col min="9" max="9" width="15" customWidth="1"/>
    <col min="10" max="10" width="16.765625" customWidth="1"/>
    <col min="11" max="11" width="24.3046875" customWidth="1"/>
    <col min="12" max="12" width="10.3046875" customWidth="1"/>
    <col min="13" max="13" width="12.3828125" customWidth="1"/>
  </cols>
  <sheetData>
    <row r="1" spans="1:13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4">
      <c r="A2" s="3">
        <v>1</v>
      </c>
      <c r="B2" s="4" t="s">
        <v>12</v>
      </c>
      <c r="C2" s="4" t="s">
        <v>13</v>
      </c>
      <c r="D2" s="4" t="s">
        <v>14</v>
      </c>
      <c r="E2" s="5">
        <v>46290</v>
      </c>
      <c r="F2" s="4" t="s">
        <v>15</v>
      </c>
      <c r="G2" s="6">
        <v>426.4</v>
      </c>
      <c r="H2" s="6">
        <v>85.28</v>
      </c>
      <c r="I2" s="6">
        <v>511.68</v>
      </c>
      <c r="J2" s="6">
        <v>511.68</v>
      </c>
      <c r="K2" s="5">
        <v>46326</v>
      </c>
      <c r="L2" s="7"/>
      <c r="M2" s="4"/>
    </row>
    <row r="3" spans="1:13" x14ac:dyDescent="0.4">
      <c r="A3" s="3">
        <v>2</v>
      </c>
      <c r="B3" s="8" t="s">
        <v>12</v>
      </c>
      <c r="C3" s="8" t="s">
        <v>16</v>
      </c>
      <c r="D3" s="8" t="s">
        <v>14</v>
      </c>
      <c r="E3" s="9">
        <v>46275</v>
      </c>
      <c r="F3" s="8" t="s">
        <v>15</v>
      </c>
      <c r="G3" s="10">
        <v>1351</v>
      </c>
      <c r="H3" s="10">
        <v>270.2</v>
      </c>
      <c r="I3" s="10">
        <v>1621.2</v>
      </c>
      <c r="J3" s="10">
        <v>1621.2</v>
      </c>
      <c r="K3" s="9">
        <v>46326</v>
      </c>
      <c r="L3" s="11"/>
      <c r="M3" s="8"/>
    </row>
    <row r="4" spans="1:13" x14ac:dyDescent="0.4">
      <c r="A4" s="3">
        <v>3</v>
      </c>
      <c r="B4" s="4" t="s">
        <v>12</v>
      </c>
      <c r="C4" s="4" t="s">
        <v>17</v>
      </c>
      <c r="D4" s="4" t="s">
        <v>14</v>
      </c>
      <c r="E4" s="5">
        <v>46190</v>
      </c>
      <c r="F4" s="4" t="s">
        <v>15</v>
      </c>
      <c r="G4" s="6">
        <v>290</v>
      </c>
      <c r="H4" s="6">
        <v>58</v>
      </c>
      <c r="I4" s="6">
        <v>348</v>
      </c>
      <c r="J4" s="6">
        <v>348</v>
      </c>
      <c r="K4" s="5">
        <v>46234</v>
      </c>
      <c r="L4" s="7"/>
      <c r="M4" s="4"/>
    </row>
    <row r="5" spans="1:13" x14ac:dyDescent="0.4">
      <c r="A5" s="3">
        <v>4</v>
      </c>
      <c r="B5" s="8" t="s">
        <v>18</v>
      </c>
      <c r="C5" s="8" t="s">
        <v>19</v>
      </c>
      <c r="D5" s="8" t="s">
        <v>20</v>
      </c>
      <c r="E5" s="9">
        <v>46190</v>
      </c>
      <c r="F5" s="8" t="s">
        <v>15</v>
      </c>
      <c r="G5" s="10">
        <v>290</v>
      </c>
      <c r="H5" s="10">
        <v>58</v>
      </c>
      <c r="I5" s="10">
        <v>348</v>
      </c>
      <c r="J5" s="10"/>
      <c r="K5" s="9">
        <v>46234</v>
      </c>
      <c r="L5" s="11">
        <v>1</v>
      </c>
      <c r="M5" s="8" t="s">
        <v>17</v>
      </c>
    </row>
    <row r="6" spans="1:13" x14ac:dyDescent="0.4">
      <c r="A6" s="3">
        <v>5</v>
      </c>
      <c r="B6" s="4" t="s">
        <v>21</v>
      </c>
      <c r="C6" s="4" t="s">
        <v>22</v>
      </c>
      <c r="D6" s="8" t="s">
        <v>24</v>
      </c>
      <c r="E6" s="5">
        <v>46142</v>
      </c>
      <c r="F6" s="4" t="s">
        <v>15</v>
      </c>
      <c r="G6" s="6">
        <v>176.54</v>
      </c>
      <c r="H6" s="6">
        <v>35.31</v>
      </c>
      <c r="I6" s="6">
        <v>211.85</v>
      </c>
      <c r="J6" s="6"/>
      <c r="K6" s="5">
        <v>46173</v>
      </c>
      <c r="L6" s="7"/>
      <c r="M6" s="4"/>
    </row>
    <row r="7" spans="1:13" x14ac:dyDescent="0.4">
      <c r="A7" s="3">
        <v>6</v>
      </c>
      <c r="B7" s="8" t="s">
        <v>12</v>
      </c>
      <c r="C7" s="8" t="s">
        <v>23</v>
      </c>
      <c r="D7" s="8" t="s">
        <v>24</v>
      </c>
      <c r="E7" s="9">
        <v>46115</v>
      </c>
      <c r="F7" s="8" t="s">
        <v>15</v>
      </c>
      <c r="G7" s="10">
        <v>117.8</v>
      </c>
      <c r="H7" s="10">
        <v>23.56</v>
      </c>
      <c r="I7" s="10">
        <v>141.36000000000001</v>
      </c>
      <c r="J7" s="10"/>
      <c r="K7" s="9">
        <v>46173</v>
      </c>
      <c r="L7" s="11">
        <v>1</v>
      </c>
      <c r="M7" s="8" t="s">
        <v>22</v>
      </c>
    </row>
    <row r="8" spans="1:13" x14ac:dyDescent="0.4">
      <c r="A8" s="3">
        <v>7</v>
      </c>
      <c r="B8" s="4" t="s">
        <v>12</v>
      </c>
      <c r="C8" s="4" t="s">
        <v>25</v>
      </c>
      <c r="D8" s="4" t="s">
        <v>24</v>
      </c>
      <c r="E8" s="5">
        <v>46087</v>
      </c>
      <c r="F8" s="4" t="s">
        <v>15</v>
      </c>
      <c r="G8" s="6">
        <v>58.74</v>
      </c>
      <c r="H8" s="6">
        <v>11.75</v>
      </c>
      <c r="I8" s="6">
        <v>70.489999999999995</v>
      </c>
      <c r="J8" s="6"/>
      <c r="K8" s="5">
        <v>46142</v>
      </c>
      <c r="L8" s="7">
        <v>1</v>
      </c>
      <c r="M8" s="4" t="s">
        <v>22</v>
      </c>
    </row>
    <row r="9" spans="1:13" x14ac:dyDescent="0.4">
      <c r="A9" s="3">
        <v>8</v>
      </c>
      <c r="B9" s="8" t="s">
        <v>21</v>
      </c>
      <c r="C9" s="8" t="s">
        <v>26</v>
      </c>
      <c r="D9" s="8" t="s">
        <v>24</v>
      </c>
      <c r="E9" s="9">
        <v>46081</v>
      </c>
      <c r="F9" s="8" t="s">
        <v>15</v>
      </c>
      <c r="G9" s="10">
        <v>1476</v>
      </c>
      <c r="H9" s="10">
        <v>295.2</v>
      </c>
      <c r="I9" s="10">
        <v>1771.2</v>
      </c>
      <c r="J9" s="10"/>
      <c r="K9" s="9">
        <v>46112</v>
      </c>
      <c r="L9" s="11"/>
      <c r="M9" s="8"/>
    </row>
    <row r="10" spans="1:13" x14ac:dyDescent="0.4">
      <c r="A10" s="3">
        <v>9</v>
      </c>
      <c r="B10" s="4" t="s">
        <v>12</v>
      </c>
      <c r="C10" s="4" t="s">
        <v>27</v>
      </c>
      <c r="D10" s="4" t="s">
        <v>24</v>
      </c>
      <c r="E10" s="5">
        <v>46057</v>
      </c>
      <c r="F10" s="4" t="s">
        <v>15</v>
      </c>
      <c r="G10" s="6">
        <v>432</v>
      </c>
      <c r="H10" s="6">
        <v>86.4</v>
      </c>
      <c r="I10" s="6">
        <v>518.4</v>
      </c>
      <c r="J10" s="6"/>
      <c r="K10" s="5">
        <v>46112</v>
      </c>
      <c r="L10" s="7">
        <v>1</v>
      </c>
      <c r="M10" s="4" t="s">
        <v>26</v>
      </c>
    </row>
    <row r="11" spans="1:13" x14ac:dyDescent="0.4">
      <c r="A11" s="3">
        <v>10</v>
      </c>
      <c r="B11" s="8" t="s">
        <v>12</v>
      </c>
      <c r="C11" s="8" t="s">
        <v>28</v>
      </c>
      <c r="D11" s="8" t="s">
        <v>24</v>
      </c>
      <c r="E11" s="9">
        <v>46055</v>
      </c>
      <c r="F11" s="8" t="s">
        <v>15</v>
      </c>
      <c r="G11" s="10">
        <v>1044</v>
      </c>
      <c r="H11" s="10">
        <v>208.8</v>
      </c>
      <c r="I11" s="10">
        <v>1252.8</v>
      </c>
      <c r="J11" s="10"/>
      <c r="K11" s="9">
        <v>46112</v>
      </c>
      <c r="L11" s="11">
        <v>1</v>
      </c>
      <c r="M11" s="8" t="s">
        <v>26</v>
      </c>
    </row>
    <row r="12" spans="1:13" x14ac:dyDescent="0.4">
      <c r="A12" s="3">
        <v>11</v>
      </c>
      <c r="B12" s="4" t="s">
        <v>21</v>
      </c>
      <c r="C12" s="4" t="s">
        <v>29</v>
      </c>
      <c r="D12" s="8" t="s">
        <v>24</v>
      </c>
      <c r="E12" s="5">
        <v>46053</v>
      </c>
      <c r="F12" s="4" t="s">
        <v>15</v>
      </c>
      <c r="G12" s="6">
        <v>1621.83</v>
      </c>
      <c r="H12" s="6">
        <v>324.37</v>
      </c>
      <c r="I12" s="6">
        <v>1946.2</v>
      </c>
      <c r="J12" s="6"/>
      <c r="K12" s="5">
        <v>46081</v>
      </c>
      <c r="L12" s="7"/>
      <c r="M12" s="4"/>
    </row>
    <row r="13" spans="1:13" s="19" customFormat="1" x14ac:dyDescent="0.4">
      <c r="A13" s="14">
        <v>12</v>
      </c>
      <c r="B13" s="15" t="s">
        <v>12</v>
      </c>
      <c r="C13" s="15" t="s">
        <v>30</v>
      </c>
      <c r="D13" s="15" t="s">
        <v>24</v>
      </c>
      <c r="E13" s="16">
        <v>46049</v>
      </c>
      <c r="F13" s="15" t="s">
        <v>15</v>
      </c>
      <c r="G13" s="17">
        <v>1621.83</v>
      </c>
      <c r="H13" s="17">
        <v>324.37</v>
      </c>
      <c r="I13" s="17">
        <v>1946.2</v>
      </c>
      <c r="J13" s="17"/>
      <c r="K13" s="16">
        <v>46081</v>
      </c>
      <c r="L13" s="18">
        <v>1</v>
      </c>
      <c r="M13" s="15" t="s">
        <v>29</v>
      </c>
    </row>
    <row r="14" spans="1:13" x14ac:dyDescent="0.4">
      <c r="A14" s="12"/>
      <c r="B14" s="12"/>
      <c r="C14" s="12"/>
      <c r="D14" s="12"/>
      <c r="E14" s="13"/>
      <c r="F14" s="12"/>
      <c r="G14" s="20">
        <f>SUM(G12,G9,G6,G2:G4)</f>
        <v>5341.77</v>
      </c>
      <c r="H14" s="20">
        <f>SUM(H12,H9,H6,H2:H4)</f>
        <v>1068.3599999999999</v>
      </c>
      <c r="I14" s="20">
        <f>SUM(I12,I9,I6,I2:I4)</f>
        <v>6410.13</v>
      </c>
      <c r="J14" s="20">
        <f>SUM(J2:J4)</f>
        <v>2480.88</v>
      </c>
      <c r="K14" s="13"/>
      <c r="L14" s="13">
        <v>6</v>
      </c>
      <c r="M14" s="12"/>
    </row>
  </sheetData>
  <pageMargins left="0.19685039370078741" right="0.19685039370078741" top="0" bottom="0" header="0" footer="0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paul</dc:creator>
  <cp:lastModifiedBy>sebastien paul</cp:lastModifiedBy>
  <cp:lastPrinted>2026-10-01T12:37:02Z</cp:lastPrinted>
  <dcterms:created xsi:type="dcterms:W3CDTF">2026-10-01T12:36:00Z</dcterms:created>
  <dcterms:modified xsi:type="dcterms:W3CDTF">2026-10-01T17:16:02Z</dcterms:modified>
</cp:coreProperties>
</file>